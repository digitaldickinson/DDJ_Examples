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55128315/Downloads/"/>
    </mc:Choice>
  </mc:AlternateContent>
  <xr:revisionPtr revIDLastSave="0" documentId="8_{48D288E4-BA02-F644-9EC9-96833C0439BE}" xr6:coauthVersionLast="47" xr6:coauthVersionMax="47" xr10:uidLastSave="{00000000-0000-0000-0000-000000000000}"/>
  <bookViews>
    <workbookView xWindow="0" yWindow="660" windowWidth="29040" windowHeight="15840" tabRatio="635" xr2:uid="{00000000-000D-0000-FFFF-FFFF00000000}"/>
  </bookViews>
  <sheets>
    <sheet name="202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1" i="4" l="1"/>
  <c r="E32" i="4"/>
  <c r="C31" i="4"/>
  <c r="H31" i="4"/>
  <c r="C32" i="4"/>
  <c r="H32" i="4"/>
  <c r="D32" i="4" l="1"/>
  <c r="D31" i="4"/>
  <c r="G32" i="4" l="1"/>
  <c r="G31" i="4"/>
  <c r="B32" i="4" l="1"/>
  <c r="B31" i="4"/>
  <c r="F32" i="4" l="1"/>
  <c r="F31" i="4"/>
</calcChain>
</file>

<file path=xl/sharedStrings.xml><?xml version="1.0" encoding="utf-8"?>
<sst xmlns="http://schemas.openxmlformats.org/spreadsheetml/2006/main" count="65" uniqueCount="40">
  <si>
    <t>Abraham Moss</t>
  </si>
  <si>
    <t>Arcadia</t>
  </si>
  <si>
    <t>Avenue</t>
  </si>
  <si>
    <t>Barlow Moor</t>
  </si>
  <si>
    <t>Beswick</t>
  </si>
  <si>
    <t>Brooklands</t>
  </si>
  <si>
    <t>Burnage</t>
  </si>
  <si>
    <t>Central Library</t>
  </si>
  <si>
    <t>Chorlton</t>
  </si>
  <si>
    <t>Didsbury</t>
  </si>
  <si>
    <t>Fallowfield</t>
  </si>
  <si>
    <t>Forum</t>
  </si>
  <si>
    <t>Gorton</t>
  </si>
  <si>
    <t>Hulme High St</t>
  </si>
  <si>
    <t>Longsight</t>
  </si>
  <si>
    <t>Miles Platting</t>
  </si>
  <si>
    <t>Moss Side Powerhouse</t>
  </si>
  <si>
    <t>New Moston</t>
  </si>
  <si>
    <t>Newton Heath</t>
  </si>
  <si>
    <t>North City</t>
  </si>
  <si>
    <t>Northenden</t>
  </si>
  <si>
    <t>Withington</t>
  </si>
  <si>
    <t>Visits</t>
  </si>
  <si>
    <t>Online/Telephone</t>
  </si>
  <si>
    <t xml:space="preserve">Ebook/audiobook </t>
  </si>
  <si>
    <t>Books to Go</t>
  </si>
  <si>
    <t>Branch Totals</t>
  </si>
  <si>
    <t>Loans</t>
  </si>
  <si>
    <t>PC Usage (hours recorded)</t>
  </si>
  <si>
    <t>-</t>
  </si>
  <si>
    <t>Outreach (non library based sessions)</t>
  </si>
  <si>
    <t>Active Members (borrowed stock and/or used PC)</t>
  </si>
  <si>
    <t>Total (including City-Wide)</t>
  </si>
  <si>
    <t>CITY-WIDE</t>
  </si>
  <si>
    <t>BRANCHES</t>
  </si>
  <si>
    <t>Events and Activities (attendees)</t>
  </si>
  <si>
    <t>Z-Arts</t>
  </si>
  <si>
    <t>Wi-Fi (authenticated sessions)</t>
  </si>
  <si>
    <t>The libraries wi-fi system is currently being upgraded and the change in reporting processes mean we are awaiting data for some branches.</t>
  </si>
  <si>
    <t>Education Sessions (participants)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</si>
</sst>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3" fontId="0" fillId="0" borderId="0" xfId="0" applyNumberFormat="1"/>
    <xf numFmtId="9" fontId="0" fillId="0" borderId="0" xfId="0" applyNumberFormat="1"/>
    <xf numFmtId="3" fontId="3" fillId="0" borderId="0" xfId="0" applyNumberFormat="1" applyFont="1"/>
    <xf numFmtId="17" fontId="0" fillId="0" borderId="0" xfId="0" applyNumberFormat="1"/>
  </cellXfs>
  <cellStyles count="2">
    <cellStyle name="Normal" xfId="0" builtinId="0"/>
    <cellStyle name="Normal_Sheet1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D22B8-3DEC-4B52-B460-3B6CA029160B}">
  <sheetPr>
    <pageSetUpPr fitToPage="1"/>
  </sheetPr>
  <dimension ref="A1:Y45"/>
  <sheetViews>
    <sheetView showGridLines="0" tabSelected="1" zoomScaleNormal="100" workbookViewId="0">
      <selection activeCell="A43" sqref="A43"/>
    </sheetView>
  </sheetViews>
  <sheetFormatPr baseColWidth="10" defaultColWidth="8.83203125" defaultRowHeight="15" x14ac:dyDescent="0.2"/>
  <cols>
    <col min="1" max="1" width="40.6640625" bestFit="1" customWidth="1"/>
    <col min="2" max="3" width="15.6640625" customWidth="1"/>
    <col min="4" max="4" width="14.6640625" customWidth="1"/>
    <col min="5" max="5" width="15.83203125" bestFit="1" customWidth="1"/>
    <col min="6" max="6" width="16.5" customWidth="1"/>
    <col min="7" max="7" width="16" customWidth="1"/>
    <col min="8" max="8" width="16.5" customWidth="1"/>
    <col min="9" max="9" width="11" customWidth="1"/>
    <col min="10" max="10" width="18.5" customWidth="1"/>
    <col min="11" max="11" width="17.1640625" customWidth="1"/>
    <col min="12" max="12" width="13.5" customWidth="1"/>
    <col min="14" max="16" width="3.33203125" customWidth="1"/>
    <col min="17" max="17" width="15.1640625" customWidth="1"/>
    <col min="18" max="18" width="3.33203125" customWidth="1"/>
    <col min="20" max="20" width="21.83203125" customWidth="1"/>
    <col min="21" max="21" width="22.5" customWidth="1"/>
  </cols>
  <sheetData>
    <row r="1" spans="1:25" x14ac:dyDescent="0.2">
      <c r="A1">
        <v>2024</v>
      </c>
      <c r="B1" t="s">
        <v>22</v>
      </c>
      <c r="C1" t="s">
        <v>27</v>
      </c>
      <c r="D1" t="s">
        <v>28</v>
      </c>
      <c r="E1" t="s">
        <v>37</v>
      </c>
      <c r="F1" t="s">
        <v>39</v>
      </c>
      <c r="G1" t="s">
        <v>35</v>
      </c>
      <c r="H1" t="s">
        <v>31</v>
      </c>
    </row>
    <row r="2" spans="1:25" s="2" customFormat="1" ht="22.5" customHeight="1" x14ac:dyDescent="0.2">
      <c r="A2" t="s">
        <v>33</v>
      </c>
      <c r="B2"/>
      <c r="C2"/>
      <c r="D2"/>
      <c r="E2"/>
      <c r="F2"/>
      <c r="G2"/>
      <c r="H2"/>
      <c r="I2"/>
      <c r="J2"/>
      <c r="K2" s="6"/>
      <c r="L2" s="6"/>
      <c r="M2" s="6"/>
      <c r="S2"/>
    </row>
    <row r="3" spans="1:25" x14ac:dyDescent="0.2">
      <c r="A3" t="s">
        <v>23</v>
      </c>
      <c r="B3" t="s">
        <v>29</v>
      </c>
      <c r="C3">
        <v>202672</v>
      </c>
      <c r="D3" t="s">
        <v>29</v>
      </c>
      <c r="E3" t="s">
        <v>29</v>
      </c>
      <c r="F3" t="s">
        <v>29</v>
      </c>
      <c r="G3" t="s">
        <v>29</v>
      </c>
      <c r="H3">
        <v>131</v>
      </c>
      <c r="K3" s="4"/>
      <c r="L3" s="4"/>
      <c r="M3" s="4"/>
      <c r="Y3" s="2"/>
    </row>
    <row r="4" spans="1:25" x14ac:dyDescent="0.2">
      <c r="A4" t="s">
        <v>24</v>
      </c>
      <c r="B4" t="s">
        <v>29</v>
      </c>
      <c r="C4">
        <v>759911</v>
      </c>
      <c r="D4" t="s">
        <v>29</v>
      </c>
      <c r="E4" t="s">
        <v>29</v>
      </c>
      <c r="F4" t="s">
        <v>29</v>
      </c>
      <c r="G4" t="s">
        <v>29</v>
      </c>
      <c r="H4" t="s">
        <v>29</v>
      </c>
      <c r="M4" s="4"/>
      <c r="O4" s="7"/>
      <c r="P4" s="7"/>
      <c r="Q4" s="7"/>
      <c r="Y4" s="2"/>
    </row>
    <row r="5" spans="1:25" x14ac:dyDescent="0.2">
      <c r="A5" t="s">
        <v>25</v>
      </c>
      <c r="B5" t="s">
        <v>29</v>
      </c>
      <c r="C5">
        <v>49269</v>
      </c>
      <c r="D5" t="s">
        <v>29</v>
      </c>
      <c r="E5" t="s">
        <v>29</v>
      </c>
      <c r="F5" t="s">
        <v>29</v>
      </c>
      <c r="G5" t="s">
        <v>29</v>
      </c>
      <c r="H5">
        <v>441</v>
      </c>
      <c r="K5" s="4"/>
      <c r="L5" s="4"/>
      <c r="M5" s="4"/>
      <c r="O5" s="4"/>
      <c r="P5" s="4"/>
      <c r="Q5" s="4"/>
      <c r="Y5" s="2"/>
    </row>
    <row r="6" spans="1:25" x14ac:dyDescent="0.2">
      <c r="A6" t="s">
        <v>30</v>
      </c>
      <c r="B6" t="s">
        <v>29</v>
      </c>
      <c r="C6" t="s">
        <v>29</v>
      </c>
      <c r="D6" t="s">
        <v>29</v>
      </c>
      <c r="E6" t="s">
        <v>29</v>
      </c>
      <c r="F6">
        <v>31967</v>
      </c>
      <c r="G6">
        <v>299</v>
      </c>
      <c r="H6" t="s">
        <v>29</v>
      </c>
      <c r="K6" s="4"/>
      <c r="M6" s="4"/>
      <c r="Q6" s="4"/>
      <c r="Y6" s="2"/>
    </row>
    <row r="7" spans="1:25" s="2" customFormat="1" ht="22.5" customHeight="1" x14ac:dyDescent="0.2">
      <c r="A7" t="s">
        <v>34</v>
      </c>
      <c r="B7"/>
      <c r="C7"/>
      <c r="D7"/>
      <c r="E7"/>
      <c r="F7"/>
      <c r="G7"/>
      <c r="H7"/>
      <c r="I7"/>
      <c r="J7"/>
      <c r="K7" s="6"/>
      <c r="L7" s="4"/>
      <c r="M7" s="6"/>
      <c r="Q7" s="6"/>
      <c r="S7"/>
    </row>
    <row r="8" spans="1:25" x14ac:dyDescent="0.2">
      <c r="A8" t="s">
        <v>0</v>
      </c>
      <c r="B8">
        <v>240616</v>
      </c>
      <c r="C8">
        <v>32593</v>
      </c>
      <c r="D8">
        <v>16259</v>
      </c>
      <c r="E8">
        <v>0</v>
      </c>
      <c r="F8">
        <v>1524</v>
      </c>
      <c r="G8">
        <v>12553</v>
      </c>
      <c r="H8">
        <v>7063</v>
      </c>
      <c r="K8" s="4"/>
      <c r="L8" s="4"/>
      <c r="M8" s="4"/>
      <c r="O8" s="5"/>
      <c r="Y8" s="2"/>
    </row>
    <row r="9" spans="1:25" x14ac:dyDescent="0.2">
      <c r="A9" t="s">
        <v>1</v>
      </c>
      <c r="B9">
        <v>74964</v>
      </c>
      <c r="C9">
        <v>27801</v>
      </c>
      <c r="D9">
        <v>12183</v>
      </c>
      <c r="E9">
        <v>28245</v>
      </c>
      <c r="F9">
        <v>2340</v>
      </c>
      <c r="G9">
        <v>4228</v>
      </c>
      <c r="H9">
        <v>2447</v>
      </c>
      <c r="K9" s="4"/>
      <c r="L9" s="4"/>
      <c r="M9" s="4"/>
      <c r="N9" s="4"/>
      <c r="O9" s="5"/>
      <c r="Q9" s="4"/>
      <c r="T9" s="4"/>
      <c r="U9" s="4"/>
      <c r="Y9" s="2"/>
    </row>
    <row r="10" spans="1:25" x14ac:dyDescent="0.2">
      <c r="A10" t="s">
        <v>2</v>
      </c>
      <c r="B10">
        <v>58491</v>
      </c>
      <c r="C10">
        <v>18535</v>
      </c>
      <c r="D10">
        <v>10022</v>
      </c>
      <c r="E10">
        <v>3163</v>
      </c>
      <c r="F10">
        <v>674</v>
      </c>
      <c r="G10">
        <v>7428</v>
      </c>
      <c r="H10">
        <v>3050</v>
      </c>
      <c r="K10" s="4"/>
      <c r="L10" s="4"/>
      <c r="M10" s="4"/>
      <c r="N10" s="4"/>
      <c r="O10" s="5"/>
      <c r="R10" s="4"/>
      <c r="T10" s="4"/>
      <c r="U10" s="4"/>
      <c r="Y10" s="2"/>
    </row>
    <row r="11" spans="1:25" x14ac:dyDescent="0.2">
      <c r="A11" t="s">
        <v>3</v>
      </c>
      <c r="B11">
        <v>3398</v>
      </c>
      <c r="C11">
        <v>1319</v>
      </c>
      <c r="D11">
        <v>1325</v>
      </c>
      <c r="E11">
        <v>2378</v>
      </c>
      <c r="F11">
        <v>103</v>
      </c>
      <c r="G11">
        <v>175</v>
      </c>
      <c r="H11">
        <v>147</v>
      </c>
      <c r="K11" s="4"/>
      <c r="L11" s="4"/>
      <c r="M11" s="4"/>
      <c r="N11" s="4"/>
      <c r="O11" s="5"/>
      <c r="R11" s="4"/>
      <c r="T11" s="4"/>
      <c r="U11" s="4"/>
      <c r="Y11" s="2"/>
    </row>
    <row r="12" spans="1:25" x14ac:dyDescent="0.2">
      <c r="A12" t="s">
        <v>4</v>
      </c>
      <c r="B12">
        <v>43181</v>
      </c>
      <c r="C12">
        <v>10410</v>
      </c>
      <c r="D12">
        <v>7397</v>
      </c>
      <c r="E12">
        <v>10621.5</v>
      </c>
      <c r="F12">
        <v>1141</v>
      </c>
      <c r="G12">
        <v>5538</v>
      </c>
      <c r="H12">
        <v>2297</v>
      </c>
      <c r="K12" s="4"/>
      <c r="Y12" s="2"/>
    </row>
    <row r="13" spans="1:25" x14ac:dyDescent="0.2">
      <c r="A13" t="s">
        <v>5</v>
      </c>
      <c r="B13">
        <v>22633</v>
      </c>
      <c r="C13">
        <v>12484</v>
      </c>
      <c r="D13">
        <v>3197</v>
      </c>
      <c r="E13">
        <v>3519</v>
      </c>
      <c r="F13">
        <v>313</v>
      </c>
      <c r="G13">
        <v>4189</v>
      </c>
      <c r="H13">
        <v>1122</v>
      </c>
      <c r="K13" s="4"/>
      <c r="L13" s="4"/>
      <c r="M13" s="4"/>
      <c r="Y13" s="2"/>
    </row>
    <row r="14" spans="1:25" x14ac:dyDescent="0.2">
      <c r="A14" t="s">
        <v>6</v>
      </c>
      <c r="B14">
        <v>17095</v>
      </c>
      <c r="C14">
        <v>9138</v>
      </c>
      <c r="D14">
        <v>959</v>
      </c>
      <c r="E14">
        <v>1225.5833333333335</v>
      </c>
      <c r="F14">
        <v>1105</v>
      </c>
      <c r="G14">
        <v>3182</v>
      </c>
      <c r="H14">
        <v>1130</v>
      </c>
      <c r="K14" s="4"/>
      <c r="L14" s="4"/>
      <c r="M14" s="4"/>
      <c r="O14" s="5"/>
      <c r="Y14" s="2"/>
    </row>
    <row r="15" spans="1:25" x14ac:dyDescent="0.2">
      <c r="A15" t="s">
        <v>7</v>
      </c>
      <c r="B15">
        <v>1484149</v>
      </c>
      <c r="C15">
        <v>111926</v>
      </c>
      <c r="D15">
        <v>130933</v>
      </c>
      <c r="E15">
        <v>441720.45999999996</v>
      </c>
      <c r="F15">
        <v>5566</v>
      </c>
      <c r="G15">
        <v>56011</v>
      </c>
      <c r="H15">
        <v>30021</v>
      </c>
      <c r="K15" s="4"/>
      <c r="L15" s="4"/>
      <c r="M15" s="4"/>
      <c r="Y15" s="2"/>
    </row>
    <row r="16" spans="1:25" x14ac:dyDescent="0.2">
      <c r="A16" t="s">
        <v>8</v>
      </c>
      <c r="B16">
        <v>52767</v>
      </c>
      <c r="C16">
        <v>42557</v>
      </c>
      <c r="D16">
        <v>5321</v>
      </c>
      <c r="E16">
        <v>7041.25</v>
      </c>
      <c r="F16">
        <v>633</v>
      </c>
      <c r="G16">
        <v>5329</v>
      </c>
      <c r="H16">
        <v>6177</v>
      </c>
      <c r="K16" s="4"/>
      <c r="L16" s="4"/>
      <c r="M16" s="4"/>
      <c r="P16" s="4"/>
      <c r="Y16" s="2"/>
    </row>
    <row r="17" spans="1:25" x14ac:dyDescent="0.2">
      <c r="A17" t="s">
        <v>9</v>
      </c>
      <c r="B17">
        <v>113275</v>
      </c>
      <c r="C17">
        <v>56973</v>
      </c>
      <c r="D17">
        <v>8566</v>
      </c>
      <c r="E17">
        <v>9684.5</v>
      </c>
      <c r="F17">
        <v>1007</v>
      </c>
      <c r="G17">
        <v>5463</v>
      </c>
      <c r="H17">
        <v>5813</v>
      </c>
      <c r="K17" s="4"/>
      <c r="L17" s="4"/>
      <c r="M17" s="4"/>
      <c r="Y17" s="2"/>
    </row>
    <row r="18" spans="1:25" x14ac:dyDescent="0.2">
      <c r="A18" t="s">
        <v>10</v>
      </c>
      <c r="B18">
        <v>82550</v>
      </c>
      <c r="C18">
        <v>6274</v>
      </c>
      <c r="D18">
        <v>5850</v>
      </c>
      <c r="E18">
        <v>695.83333333333326</v>
      </c>
      <c r="F18">
        <v>498</v>
      </c>
      <c r="G18">
        <v>14933</v>
      </c>
      <c r="H18">
        <v>1642</v>
      </c>
      <c r="K18" s="4"/>
      <c r="L18" s="4"/>
      <c r="M18" s="4"/>
      <c r="N18" s="4"/>
      <c r="O18" s="5"/>
      <c r="U18" s="4"/>
      <c r="Y18" s="2"/>
    </row>
    <row r="19" spans="1:25" x14ac:dyDescent="0.2">
      <c r="A19" t="s">
        <v>11</v>
      </c>
      <c r="B19">
        <v>139564</v>
      </c>
      <c r="C19">
        <v>39844</v>
      </c>
      <c r="D19">
        <v>24398</v>
      </c>
      <c r="E19">
        <v>7604</v>
      </c>
      <c r="F19">
        <v>2136</v>
      </c>
      <c r="G19">
        <v>16910</v>
      </c>
      <c r="H19">
        <v>5841</v>
      </c>
      <c r="K19" s="4"/>
      <c r="L19" s="4"/>
      <c r="M19" s="4"/>
      <c r="N19" s="4"/>
      <c r="O19" s="5"/>
      <c r="R19" s="4"/>
      <c r="T19" s="4"/>
      <c r="U19" s="4"/>
      <c r="Y19" s="2"/>
    </row>
    <row r="20" spans="1:25" x14ac:dyDescent="0.2">
      <c r="A20" t="s">
        <v>12</v>
      </c>
      <c r="B20">
        <v>84831</v>
      </c>
      <c r="C20">
        <v>25661</v>
      </c>
      <c r="D20">
        <v>18727</v>
      </c>
      <c r="E20">
        <v>0</v>
      </c>
      <c r="F20">
        <v>2506</v>
      </c>
      <c r="G20">
        <v>7328</v>
      </c>
      <c r="H20">
        <v>4419</v>
      </c>
      <c r="K20" s="4"/>
      <c r="L20" s="4"/>
      <c r="M20" s="4"/>
      <c r="Y20" s="2"/>
    </row>
    <row r="21" spans="1:25" x14ac:dyDescent="0.2">
      <c r="A21" t="s">
        <v>13</v>
      </c>
      <c r="B21">
        <v>138566</v>
      </c>
      <c r="C21">
        <v>17064</v>
      </c>
      <c r="D21">
        <v>14331</v>
      </c>
      <c r="E21">
        <v>0</v>
      </c>
      <c r="F21">
        <v>185</v>
      </c>
      <c r="G21">
        <v>5136</v>
      </c>
      <c r="H21">
        <v>1868</v>
      </c>
      <c r="K21" s="4"/>
      <c r="L21" s="4"/>
      <c r="M21" s="4"/>
      <c r="Y21" s="2"/>
    </row>
    <row r="22" spans="1:25" x14ac:dyDescent="0.2">
      <c r="A22" t="s">
        <v>14</v>
      </c>
      <c r="B22">
        <v>194174</v>
      </c>
      <c r="C22">
        <v>34727</v>
      </c>
      <c r="D22">
        <v>27614</v>
      </c>
      <c r="E22">
        <v>10960</v>
      </c>
      <c r="F22">
        <v>4533</v>
      </c>
      <c r="G22">
        <v>17970</v>
      </c>
      <c r="H22">
        <v>7085</v>
      </c>
      <c r="K22" s="4"/>
      <c r="M22" s="4"/>
      <c r="Y22" s="2"/>
    </row>
    <row r="23" spans="1:25" x14ac:dyDescent="0.2">
      <c r="A23" t="s">
        <v>15</v>
      </c>
      <c r="B23">
        <v>6821</v>
      </c>
      <c r="C23">
        <v>2199</v>
      </c>
      <c r="D23">
        <v>566</v>
      </c>
      <c r="E23">
        <v>334.5</v>
      </c>
      <c r="F23">
        <v>26</v>
      </c>
      <c r="G23">
        <v>1357</v>
      </c>
      <c r="H23">
        <v>377</v>
      </c>
      <c r="K23" s="4"/>
      <c r="L23" s="4"/>
      <c r="M23" s="4"/>
      <c r="Y23" s="2"/>
    </row>
    <row r="24" spans="1:25" x14ac:dyDescent="0.2">
      <c r="A24" t="s">
        <v>16</v>
      </c>
      <c r="B24">
        <v>26634</v>
      </c>
      <c r="C24">
        <v>10828</v>
      </c>
      <c r="D24">
        <v>11294</v>
      </c>
      <c r="E24">
        <v>4201.8333333333339</v>
      </c>
      <c r="F24">
        <v>5178</v>
      </c>
      <c r="G24">
        <v>4187</v>
      </c>
      <c r="H24">
        <v>1447</v>
      </c>
      <c r="K24" s="4"/>
      <c r="M24" s="4"/>
      <c r="Y24" s="2"/>
    </row>
    <row r="25" spans="1:25" x14ac:dyDescent="0.2">
      <c r="A25" t="s">
        <v>17</v>
      </c>
      <c r="B25">
        <v>4335</v>
      </c>
      <c r="C25">
        <v>1996</v>
      </c>
      <c r="D25">
        <v>600</v>
      </c>
      <c r="E25">
        <v>317.27272727272725</v>
      </c>
      <c r="F25">
        <v>96</v>
      </c>
      <c r="G25">
        <v>835</v>
      </c>
      <c r="H25">
        <v>488</v>
      </c>
      <c r="K25" s="4"/>
      <c r="L25" s="4"/>
      <c r="M25" s="4"/>
      <c r="Q25" s="4"/>
      <c r="Y25" s="2"/>
    </row>
    <row r="26" spans="1:25" x14ac:dyDescent="0.2">
      <c r="A26" t="s">
        <v>18</v>
      </c>
      <c r="B26">
        <v>72060</v>
      </c>
      <c r="C26">
        <v>10337</v>
      </c>
      <c r="D26">
        <v>8893</v>
      </c>
      <c r="E26">
        <v>1541.5833333333333</v>
      </c>
      <c r="F26">
        <v>3218</v>
      </c>
      <c r="G26">
        <v>13695</v>
      </c>
      <c r="H26">
        <v>2464</v>
      </c>
      <c r="K26" s="4"/>
      <c r="L26" s="4"/>
      <c r="Y26" s="2"/>
    </row>
    <row r="27" spans="1:25" x14ac:dyDescent="0.2">
      <c r="A27" t="s">
        <v>19</v>
      </c>
      <c r="B27">
        <v>59011</v>
      </c>
      <c r="C27">
        <v>17289</v>
      </c>
      <c r="D27">
        <v>11671</v>
      </c>
      <c r="E27">
        <v>7331.3333333333339</v>
      </c>
      <c r="F27">
        <v>1087</v>
      </c>
      <c r="G27">
        <v>7136</v>
      </c>
      <c r="H27">
        <v>3847</v>
      </c>
      <c r="K27" s="4"/>
      <c r="L27" s="4"/>
      <c r="M27" s="4"/>
      <c r="Y27" s="2"/>
    </row>
    <row r="28" spans="1:25" x14ac:dyDescent="0.2">
      <c r="A28" t="s">
        <v>20</v>
      </c>
      <c r="B28">
        <v>5547</v>
      </c>
      <c r="C28">
        <v>6393</v>
      </c>
      <c r="D28">
        <v>0</v>
      </c>
      <c r="E28">
        <v>0</v>
      </c>
      <c r="F28">
        <v>0</v>
      </c>
      <c r="G28">
        <v>1201</v>
      </c>
      <c r="H28">
        <v>418</v>
      </c>
      <c r="K28" s="4"/>
      <c r="L28" s="4"/>
      <c r="Y28" s="2"/>
    </row>
    <row r="29" spans="1:25" x14ac:dyDescent="0.2">
      <c r="A29" t="s">
        <v>21</v>
      </c>
      <c r="B29">
        <v>87922</v>
      </c>
      <c r="C29">
        <v>31247</v>
      </c>
      <c r="D29">
        <v>10325</v>
      </c>
      <c r="E29">
        <v>19903.5</v>
      </c>
      <c r="F29">
        <v>478</v>
      </c>
      <c r="G29">
        <v>14135</v>
      </c>
      <c r="H29">
        <v>5072</v>
      </c>
      <c r="K29" s="4"/>
      <c r="L29" s="4"/>
      <c r="Y29" s="2"/>
    </row>
    <row r="30" spans="1:25" x14ac:dyDescent="0.2">
      <c r="A30" t="s">
        <v>36</v>
      </c>
      <c r="B30" t="s">
        <v>29</v>
      </c>
      <c r="C30">
        <v>2985</v>
      </c>
      <c r="D30" t="s">
        <v>29</v>
      </c>
      <c r="E30" t="s">
        <v>29</v>
      </c>
      <c r="F30" t="s">
        <v>29</v>
      </c>
      <c r="G30" t="s">
        <v>29</v>
      </c>
      <c r="H30">
        <v>256</v>
      </c>
      <c r="K30" s="4"/>
      <c r="L30" s="4"/>
      <c r="M30" s="4"/>
      <c r="Y30" s="2"/>
    </row>
    <row r="31" spans="1:25" x14ac:dyDescent="0.2">
      <c r="A31" t="s">
        <v>26</v>
      </c>
      <c r="B31">
        <f>SUM(B8:B30)</f>
        <v>3012584</v>
      </c>
      <c r="C31">
        <f t="shared" ref="C31:H31" si="0">SUM(C8:C30)</f>
        <v>530580</v>
      </c>
      <c r="D31">
        <f>SUM(D8:D30)</f>
        <v>330431</v>
      </c>
      <c r="E31">
        <f>SUM(E8:E30)</f>
        <v>560488.14939393941</v>
      </c>
      <c r="F31">
        <f t="shared" si="0"/>
        <v>34347</v>
      </c>
      <c r="G31">
        <f t="shared" si="0"/>
        <v>208919</v>
      </c>
      <c r="H31">
        <f t="shared" si="0"/>
        <v>94491</v>
      </c>
      <c r="K31" s="4"/>
      <c r="L31" s="4"/>
      <c r="M31" s="4"/>
      <c r="O31" s="4"/>
      <c r="P31" s="4"/>
      <c r="Q31" s="4"/>
      <c r="Y31" s="2"/>
    </row>
    <row r="32" spans="1:25" x14ac:dyDescent="0.2">
      <c r="A32" t="s">
        <v>32</v>
      </c>
      <c r="B32">
        <f>SUM(B3:B30)</f>
        <v>3012584</v>
      </c>
      <c r="C32">
        <f t="shared" ref="C32:H32" si="1">SUM(C3:C30)</f>
        <v>1542432</v>
      </c>
      <c r="D32">
        <f>SUM(D3:D30)</f>
        <v>330431</v>
      </c>
      <c r="E32">
        <f>SUM(E3:E30)</f>
        <v>560488.14939393941</v>
      </c>
      <c r="F32">
        <f t="shared" si="1"/>
        <v>66314</v>
      </c>
      <c r="G32">
        <f t="shared" si="1"/>
        <v>209218</v>
      </c>
      <c r="H32">
        <f t="shared" si="1"/>
        <v>95063</v>
      </c>
      <c r="K32" s="4"/>
      <c r="L32" s="4"/>
      <c r="M32" s="4"/>
      <c r="Y32" s="2"/>
    </row>
    <row r="33" spans="1:25" x14ac:dyDescent="0.2">
      <c r="K33" s="4"/>
      <c r="L33" s="4"/>
      <c r="M33" s="4"/>
      <c r="Y33" s="2"/>
    </row>
    <row r="34" spans="1:25" x14ac:dyDescent="0.2">
      <c r="A34" t="s">
        <v>38</v>
      </c>
      <c r="K34" s="4"/>
      <c r="L34" s="4"/>
      <c r="M34" s="4"/>
      <c r="Y34" s="2"/>
    </row>
    <row r="35" spans="1:25" x14ac:dyDescent="0.2">
      <c r="K35" s="4"/>
      <c r="M35" s="4"/>
      <c r="Y35" s="2"/>
    </row>
    <row r="36" spans="1:25" x14ac:dyDescent="0.2">
      <c r="K36" s="4"/>
      <c r="M36" s="4"/>
      <c r="Y36" s="2"/>
    </row>
    <row r="37" spans="1:25" x14ac:dyDescent="0.2">
      <c r="K37" s="4"/>
      <c r="L37" s="4"/>
      <c r="M37" s="4"/>
    </row>
    <row r="38" spans="1:25" x14ac:dyDescent="0.2">
      <c r="L38" s="4"/>
      <c r="M38" s="4"/>
    </row>
    <row r="39" spans="1:25" x14ac:dyDescent="0.2">
      <c r="I39" s="3"/>
      <c r="L39" s="4"/>
    </row>
    <row r="40" spans="1:25" x14ac:dyDescent="0.2">
      <c r="A40" s="1"/>
      <c r="I40" s="3"/>
      <c r="L40" s="4"/>
    </row>
    <row r="41" spans="1:25" x14ac:dyDescent="0.2">
      <c r="L41" s="4"/>
    </row>
    <row r="42" spans="1:25" x14ac:dyDescent="0.2">
      <c r="L42" s="4"/>
    </row>
    <row r="44" spans="1:25" x14ac:dyDescent="0.2">
      <c r="A44" s="7"/>
    </row>
    <row r="45" spans="1:25" x14ac:dyDescent="0.2">
      <c r="A45" s="7"/>
    </row>
  </sheetData>
  <pageMargins left="0.70866141732283472" right="0.70866141732283472" top="0.74803149606299213" bottom="0.74803149606299213" header="0.31496062992125984" footer="0.31496062992125984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</vt:lpstr>
    </vt:vector>
  </TitlesOfParts>
  <Company>Manchester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Hunt</dc:creator>
  <cp:lastModifiedBy>Andrew Dickinson</cp:lastModifiedBy>
  <cp:lastPrinted>2017-05-31T13:49:31Z</cp:lastPrinted>
  <dcterms:created xsi:type="dcterms:W3CDTF">2017-05-24T14:12:38Z</dcterms:created>
  <dcterms:modified xsi:type="dcterms:W3CDTF">2026-02-23T20:04:54Z</dcterms:modified>
</cp:coreProperties>
</file>